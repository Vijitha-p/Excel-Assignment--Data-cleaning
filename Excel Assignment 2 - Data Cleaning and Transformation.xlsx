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JITHA\Downloads\"/>
    </mc:Choice>
  </mc:AlternateContent>
  <xr:revisionPtr revIDLastSave="0" documentId="13_ncr:1_{9CB96236-0426-4D5F-9177-BA87C605947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nstructions" sheetId="1" r:id="rId1"/>
    <sheet name="Dataset" sheetId="2" r:id="rId2"/>
    <sheet name="Answer she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S5" i="3" l="1"/>
  <c r="S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2" i="3"/>
</calcChain>
</file>

<file path=xl/sharedStrings.xml><?xml version="1.0" encoding="utf-8"?>
<sst xmlns="http://schemas.openxmlformats.org/spreadsheetml/2006/main" count="387" uniqueCount="142">
  <si>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</si>
  <si>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</si>
  <si>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</si>
  <si>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</si>
  <si>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</si>
  <si>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</si>
  <si>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</si>
  <si>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</si>
  <si>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</si>
  <si>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</si>
  <si>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</si>
  <si>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</si>
  <si>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</si>
  <si>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</si>
  <si>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</si>
  <si>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</si>
  <si>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</si>
  <si>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</si>
  <si>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</si>
  <si>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</si>
  <si>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</si>
  <si>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</si>
  <si>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</si>
  <si>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</si>
  <si>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</si>
  <si>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</si>
  <si>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</si>
  <si>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</si>
  <si>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</si>
  <si>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</si>
  <si>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</si>
  <si>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</si>
  <si>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</si>
  <si>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</si>
  <si>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</si>
  <si>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</si>
  <si>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</si>
  <si>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</si>
  <si>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</si>
  <si>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</si>
  <si>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</si>
  <si>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</si>
  <si>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</si>
  <si>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</si>
  <si>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</si>
  <si>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</si>
  <si>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</si>
  <si>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</si>
  <si>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</si>
  <si>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</si>
  <si>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</si>
  <si>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</si>
  <si>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</si>
  <si>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</si>
  <si>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</si>
  <si>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</si>
  <si>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</si>
  <si>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</si>
  <si>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</si>
  <si>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</si>
  <si>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</si>
  <si>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</si>
  <si>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</si>
  <si>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</si>
  <si>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</si>
  <si>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</si>
  <si>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</si>
  <si>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</si>
  <si>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</si>
  <si>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</si>
  <si>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</si>
  <si>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</si>
  <si>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</si>
  <si>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</si>
  <si>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</si>
  <si>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</si>
  <si>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</si>
  <si>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</si>
  <si>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</si>
  <si>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</si>
  <si>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</si>
  <si>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</si>
  <si>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</si>
  <si>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</si>
  <si>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</si>
  <si>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</si>
  <si>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</si>
  <si>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</si>
  <si>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</si>
  <si>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</si>
  <si>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</si>
  <si>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</si>
  <si>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</si>
  <si>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</si>
  <si>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</si>
  <si>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</si>
  <si>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</si>
  <si>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</si>
  <si>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</si>
  <si>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</si>
  <si>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</si>
  <si>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</si>
  <si>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</si>
  <si>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</si>
  <si>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</si>
  <si>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</si>
  <si>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</si>
  <si>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</si>
  <si>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</si>
  <si>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</si>
  <si>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</si>
  <si>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</si>
  <si>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</si>
  <si>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</si>
  <si>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</si>
  <si>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</si>
  <si>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handling missing prices</t>
  </si>
  <si>
    <t>Price (filled)</t>
  </si>
  <si>
    <t>Category filled</t>
  </si>
  <si>
    <t>products with missing categories</t>
  </si>
  <si>
    <t xml:space="preserve"> manually handled</t>
  </si>
  <si>
    <t>Inconsistent text formats in Product column</t>
  </si>
  <si>
    <t>typos in the Category column</t>
  </si>
  <si>
    <t>Laptop,Smartphone,Headphones</t>
  </si>
  <si>
    <t>Manufacturing Date</t>
  </si>
  <si>
    <t>Country Code</t>
  </si>
  <si>
    <t>Product Brand</t>
  </si>
  <si>
    <t>Product Name2</t>
  </si>
  <si>
    <t>missing values in the Price column</t>
  </si>
  <si>
    <t>removed 2 identical rows</t>
  </si>
  <si>
    <t>Manufacturing Date and Country Code</t>
  </si>
  <si>
    <t/>
  </si>
  <si>
    <t>J1:J33</t>
  </si>
  <si>
    <t>L1:L33</t>
  </si>
  <si>
    <t>G1:G33</t>
  </si>
  <si>
    <t>display dates in Manufacturing Date column in DD-MM-YYYY format</t>
  </si>
  <si>
    <t>change Price column to currency format</t>
  </si>
  <si>
    <t>color scales conditional formatting in the Price column</t>
  </si>
  <si>
    <t>highlight Electronics in category column</t>
  </si>
  <si>
    <t>I1:I33</t>
  </si>
  <si>
    <t xml:space="preserve"> average value of price cell range</t>
  </si>
  <si>
    <t>Conditional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</si>
</sst>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10" fillId="0" borderId="0" xfId="0" applyFont="1"/>
    <xf numFmtId="0" fontId="8" fillId="0" borderId="0" xfId="0" applyFont="1"/>
    <xf numFmtId="164" fontId="0" fillId="0" borderId="0" xfId="0" applyNumberFormat="1"/>
    <xf numFmtId="14" fontId="0" fillId="0" borderId="0" xfId="0" applyNumberFormat="1"/>
    <xf numFmtId="14" fontId="5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1" fillId="0" borderId="0" xfId="0" applyFont="1"/>
    <xf numFmtId="0" fontId="9" fillId="4" borderId="10" xfId="0" applyFont="1" applyFill="1" applyBorder="1"/>
    <xf numFmtId="0" fontId="0" fillId="0" borderId="11" xfId="0" applyBorder="1"/>
    <xf numFmtId="0" fontId="0" fillId="0" borderId="12" xfId="0" applyBorder="1"/>
    <xf numFmtId="0" fontId="8" fillId="0" borderId="13" xfId="0" applyFont="1" applyBorder="1"/>
    <xf numFmtId="0" fontId="0" fillId="0" borderId="0" xfId="0" applyBorder="1"/>
    <xf numFmtId="0" fontId="0" fillId="0" borderId="14" xfId="0" applyBorder="1"/>
    <xf numFmtId="0" fontId="0" fillId="0" borderId="13" xfId="0" applyBorder="1"/>
    <xf numFmtId="0" fontId="9" fillId="4" borderId="13" xfId="0" applyFont="1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8" fillId="0" borderId="13" xfId="0" applyFont="1" applyBorder="1" applyAlignment="1"/>
    <xf numFmtId="0" fontId="0" fillId="0" borderId="13" xfId="0" applyBorder="1" applyAlignment="1"/>
    <xf numFmtId="0" fontId="8" fillId="0" borderId="0" xfId="0" quotePrefix="1" applyFont="1"/>
    <xf numFmtId="0" fontId="8" fillId="0" borderId="0" xfId="0" applyFont="1" applyBorder="1" applyAlignment="1">
      <alignment horizontal="left" wrapText="1"/>
    </xf>
    <xf numFmtId="0" fontId="8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12" fillId="0" borderId="5" xfId="0" applyFont="1" applyBorder="1" applyAlignment="1">
      <alignment horizontal="left"/>
    </xf>
    <xf numFmtId="164" fontId="12" fillId="0" borderId="5" xfId="0" applyNumberFormat="1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4" fontId="12" fillId="0" borderId="1" xfId="0" applyNumberFormat="1" applyFont="1" applyBorder="1" applyAlignment="1">
      <alignment horizontal="left"/>
    </xf>
    <xf numFmtId="14" fontId="12" fillId="0" borderId="1" xfId="0" applyNumberFormat="1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164" fontId="12" fillId="0" borderId="8" xfId="0" applyNumberFormat="1" applyFont="1" applyBorder="1" applyAlignment="1">
      <alignment horizontal="left"/>
    </xf>
    <xf numFmtId="0" fontId="12" fillId="0" borderId="9" xfId="0" applyFont="1" applyBorder="1" applyAlignment="1">
      <alignment horizontal="left"/>
    </xf>
  </cellXfs>
  <cellStyles count="1">
    <cellStyle name="Normal" xfId="0" builtinId="0"/>
  </cellStyles>
  <dxfs count="17"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164" formatCode="&quot;₹&quot;\ #,##0.00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164" formatCode="&quot;₹&quot;\ #,##0.00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5700"/>
      </font>
      <fill>
        <patternFill>
          <bgColor rgb="FFFFEB9C"/>
        </patternFill>
      </fill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34E7E-B103-43B7-803A-930C20725CE0}" name="Table1" displayName="Table1" ref="A1:L33" totalsRowShown="0" headerRowDxfId="16" headerRowBorderDxfId="14" tableBorderDxfId="15" totalsRowBorderDxfId="13">
  <autoFilter ref="A1:L33" xr:uid="{CF934E7E-B103-43B7-803A-930C20725CE0}"/>
  <tableColumns count="12">
    <tableColumn id="1" xr3:uid="{4162B2C3-A8EF-4F7A-A78B-C77B04ED3A3C}" name="Product ID" dataDxfId="12"/>
    <tableColumn id="2" xr3:uid="{F776754B-6D02-4697-B288-D68EF4FE3629}" name="Product Name" dataDxfId="10"/>
    <tableColumn id="3" xr3:uid="{E8F1F029-DEB3-42E7-A65F-DB8BA6C46A2C}" name="Brand Name" dataDxfId="9"/>
    <tableColumn id="4" xr3:uid="{E9567212-D220-4552-900E-F9E577DBF265}" name="Price ($)" dataDxfId="8"/>
    <tableColumn id="5" xr3:uid="{9DBF5127-A1AC-48F1-BADB-86558C2C858D}" name="Quantity" dataDxfId="7"/>
    <tableColumn id="6" xr3:uid="{6FAEB141-958A-4A11-8E88-DA020B86B5AA}" name="Category" dataDxfId="6"/>
    <tableColumn id="7" xr3:uid="{DF94019B-857C-49D8-BDBC-F8AAEF8A7982}" name="Price (filled)" dataDxfId="5">
      <calculatedColumnFormula>IF(ISBLANK(D2),AVERAGE($D$2:$D$33),D2)</calculatedColumnFormula>
    </tableColumn>
    <tableColumn id="13" xr3:uid="{A8E72A30-29C0-4D33-BA61-F9B29236606F}" name="Product Name2" dataDxfId="4"/>
    <tableColumn id="8" xr3:uid="{384C3ABD-A292-4ED9-B22D-F0D4BF508881}" name="Category filled" dataDxfId="3"/>
    <tableColumn id="9" xr3:uid="{CA159414-8C9D-47A6-839D-BB734E69D5A7}" name="Manufacturing Date" dataDxfId="2">
      <calculatedColumnFormula>DATEVALUE(LEFT(A2,6)&amp;-"2025")</calculatedColumnFormula>
    </tableColumn>
    <tableColumn id="10" xr3:uid="{2F2888C9-33B3-415F-AA8B-65C6E396E0C7}" name="Country Code" dataDxfId="1">
      <calculatedColumnFormula>RIGHT(A2,2)</calculatedColumnFormula>
    </tableColumn>
    <tableColumn id="11" xr3:uid="{7A278F9C-93AE-4E25-B7DB-F4410C654454}" name="Product Brand" dataDxfId="0">
      <calculatedColumnFormula>_xlfn.CONCAT(C2," ",B2)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4" workbookViewId="0">
      <selection activeCell="C25" sqref="C25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9" t="s">
        <v>2</v>
      </c>
    </row>
    <row r="5" spans="1:11" ht="15.75" customHeight="1" x14ac:dyDescent="0.35">
      <c r="B5" s="4"/>
      <c r="C5" s="9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9" t="s">
        <v>5</v>
      </c>
    </row>
    <row r="9" spans="1:11" ht="15.75" customHeight="1" x14ac:dyDescent="0.35">
      <c r="C9" s="9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0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9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9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0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9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9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0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9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9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zoomScale="90" zoomScaleNormal="90" workbookViewId="0">
      <selection activeCell="H16" sqref="H16"/>
    </sheetView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3090-D280-495A-A7E2-80E7480B142F}">
  <dimension ref="A1:U35"/>
  <sheetViews>
    <sheetView tabSelected="1" zoomScale="98" zoomScaleNormal="98" workbookViewId="0">
      <selection activeCell="M22" sqref="M22"/>
    </sheetView>
  </sheetViews>
  <sheetFormatPr defaultRowHeight="12.5" x14ac:dyDescent="0.25"/>
  <cols>
    <col min="1" max="1" width="13.26953125" customWidth="1"/>
    <col min="2" max="2" width="15.453125" customWidth="1"/>
    <col min="3" max="3" width="13.90625" customWidth="1"/>
    <col min="4" max="4" width="13.36328125" customWidth="1"/>
    <col min="5" max="5" width="12" customWidth="1"/>
    <col min="6" max="6" width="13.81640625" customWidth="1"/>
    <col min="7" max="7" width="17" style="11" customWidth="1"/>
    <col min="8" max="8" width="17.26953125" style="11" customWidth="1"/>
    <col min="9" max="9" width="17.453125" customWidth="1"/>
    <col min="10" max="10" width="24.6328125" customWidth="1"/>
    <col min="11" max="11" width="18.81640625" customWidth="1"/>
    <col min="12" max="12" width="24.81640625" customWidth="1"/>
    <col min="13" max="13" width="13.6328125" customWidth="1"/>
    <col min="18" max="18" width="30.453125" customWidth="1"/>
    <col min="19" max="19" width="20.08984375" customWidth="1"/>
  </cols>
  <sheetData>
    <row r="1" spans="1:21" ht="21.5" customHeight="1" thickBot="1" x14ac:dyDescent="0.35">
      <c r="A1" s="16" t="s">
        <v>19</v>
      </c>
      <c r="B1" s="17" t="s">
        <v>20</v>
      </c>
      <c r="C1" s="39" t="s">
        <v>21</v>
      </c>
      <c r="D1" s="39" t="s">
        <v>22</v>
      </c>
      <c r="E1" s="39" t="s">
        <v>23</v>
      </c>
      <c r="F1" s="39" t="s">
        <v>24</v>
      </c>
      <c r="G1" s="40" t="s">
        <v>117</v>
      </c>
      <c r="H1" s="39" t="s">
        <v>127</v>
      </c>
      <c r="I1" s="39" t="s">
        <v>118</v>
      </c>
      <c r="J1" s="39" t="s">
        <v>124</v>
      </c>
      <c r="K1" s="39" t="s">
        <v>125</v>
      </c>
      <c r="L1" s="41" t="s">
        <v>126</v>
      </c>
      <c r="M1" s="10"/>
    </row>
    <row r="2" spans="1:21" ht="14" x14ac:dyDescent="0.3">
      <c r="A2" s="15" t="s">
        <v>25</v>
      </c>
      <c r="B2" s="14" t="s">
        <v>61</v>
      </c>
      <c r="C2" s="42" t="s">
        <v>27</v>
      </c>
      <c r="D2" s="42">
        <v>1000</v>
      </c>
      <c r="E2" s="42">
        <v>30</v>
      </c>
      <c r="F2" s="42" t="s">
        <v>28</v>
      </c>
      <c r="G2" s="43">
        <f t="shared" ref="G2:G33" si="0">IF(ISBLANK(D2),AVERAGE($D$2:$D$33),D2)</f>
        <v>1000</v>
      </c>
      <c r="H2" s="42" t="s">
        <v>61</v>
      </c>
      <c r="I2" s="42" t="s">
        <v>28</v>
      </c>
      <c r="J2" s="44">
        <f t="shared" ref="J2:J33" si="1">DATEVALUE(LEFT(A2,6)&amp;-"2025")</f>
        <v>45685</v>
      </c>
      <c r="K2" s="42" t="str">
        <f>RIGHT(A2,2)</f>
        <v>US</v>
      </c>
      <c r="L2" s="45" t="str">
        <f>_xlfn.CONCAT(C2," ",B2)</f>
        <v>Dell Laptop</v>
      </c>
      <c r="M2" s="13"/>
      <c r="R2" s="21" t="s">
        <v>1</v>
      </c>
      <c r="S2" s="22"/>
      <c r="T2" s="22"/>
      <c r="U2" s="23"/>
    </row>
    <row r="3" spans="1:21" ht="14" x14ac:dyDescent="0.3">
      <c r="A3" s="15" t="s">
        <v>29</v>
      </c>
      <c r="B3" s="14" t="s">
        <v>30</v>
      </c>
      <c r="C3" s="42" t="s">
        <v>31</v>
      </c>
      <c r="D3" s="42">
        <v>80</v>
      </c>
      <c r="E3" s="42">
        <v>15</v>
      </c>
      <c r="F3" s="42" t="s">
        <v>32</v>
      </c>
      <c r="G3" s="43">
        <f t="shared" si="0"/>
        <v>80</v>
      </c>
      <c r="H3" s="42" t="s">
        <v>30</v>
      </c>
      <c r="I3" s="42" t="s">
        <v>32</v>
      </c>
      <c r="J3" s="44">
        <f t="shared" si="1"/>
        <v>45703</v>
      </c>
      <c r="K3" s="42" t="str">
        <f t="shared" ref="K3:K33" si="2">RIGHT(A3,2)</f>
        <v>US</v>
      </c>
      <c r="L3" s="45" t="str">
        <f t="shared" ref="L3:L33" si="3">_xlfn.CONCAT(C3," ",B3)</f>
        <v>Nike Sneakers</v>
      </c>
      <c r="M3" s="13"/>
      <c r="R3" s="32" t="s">
        <v>128</v>
      </c>
      <c r="S3" s="37">
        <f>COUNTBLANK(D2:D33)</f>
        <v>3</v>
      </c>
      <c r="T3" s="25"/>
      <c r="U3" s="26"/>
    </row>
    <row r="4" spans="1:21" ht="25.5" x14ac:dyDescent="0.3">
      <c r="A4" s="15" t="s">
        <v>33</v>
      </c>
      <c r="B4" s="14" t="s">
        <v>34</v>
      </c>
      <c r="C4" s="42" t="s">
        <v>35</v>
      </c>
      <c r="D4" s="42">
        <v>130</v>
      </c>
      <c r="E4" s="42">
        <v>40</v>
      </c>
      <c r="F4" s="42" t="s">
        <v>36</v>
      </c>
      <c r="G4" s="43">
        <f t="shared" si="0"/>
        <v>130</v>
      </c>
      <c r="H4" s="42" t="s">
        <v>34</v>
      </c>
      <c r="I4" s="42" t="s">
        <v>36</v>
      </c>
      <c r="J4" s="44">
        <f t="shared" si="1"/>
        <v>45719</v>
      </c>
      <c r="K4" s="42" t="str">
        <f t="shared" si="2"/>
        <v>US</v>
      </c>
      <c r="L4" s="45" t="str">
        <f t="shared" si="3"/>
        <v>Keurig Coffee Maker</v>
      </c>
      <c r="M4" s="13"/>
      <c r="R4" s="32" t="s">
        <v>116</v>
      </c>
      <c r="S4" s="35" t="s">
        <v>140</v>
      </c>
      <c r="T4" s="25"/>
      <c r="U4" s="26"/>
    </row>
    <row r="5" spans="1:21" ht="14" x14ac:dyDescent="0.3">
      <c r="A5" s="15" t="s">
        <v>37</v>
      </c>
      <c r="B5" s="14" t="s">
        <v>96</v>
      </c>
      <c r="C5" s="42" t="s">
        <v>39</v>
      </c>
      <c r="D5" s="42">
        <v>900</v>
      </c>
      <c r="E5" s="42">
        <v>25</v>
      </c>
      <c r="F5" s="42" t="s">
        <v>28</v>
      </c>
      <c r="G5" s="43">
        <f t="shared" si="0"/>
        <v>900</v>
      </c>
      <c r="H5" s="42" t="s">
        <v>96</v>
      </c>
      <c r="I5" s="42" t="s">
        <v>28</v>
      </c>
      <c r="J5" s="44">
        <f t="shared" si="1"/>
        <v>45758</v>
      </c>
      <c r="K5" s="42" t="str">
        <f t="shared" si="2"/>
        <v>US</v>
      </c>
      <c r="L5" s="45" t="str">
        <f t="shared" si="3"/>
        <v>Samsung Smartphone</v>
      </c>
      <c r="M5" s="13"/>
      <c r="R5" s="33" t="s">
        <v>119</v>
      </c>
      <c r="S5" s="36">
        <f>COUNTBLANK(F2:F33)</f>
        <v>4</v>
      </c>
      <c r="T5" s="36" t="s">
        <v>120</v>
      </c>
      <c r="U5" s="26"/>
    </row>
    <row r="6" spans="1:21" ht="14" x14ac:dyDescent="0.3">
      <c r="A6" s="15" t="s">
        <v>40</v>
      </c>
      <c r="B6" s="14" t="s">
        <v>41</v>
      </c>
      <c r="C6" s="42" t="s">
        <v>42</v>
      </c>
      <c r="D6" s="42">
        <v>70</v>
      </c>
      <c r="E6" s="42">
        <v>20</v>
      </c>
      <c r="F6" s="42"/>
      <c r="G6" s="43">
        <f t="shared" si="0"/>
        <v>70</v>
      </c>
      <c r="H6" s="42" t="s">
        <v>41</v>
      </c>
      <c r="I6" s="42" t="s">
        <v>59</v>
      </c>
      <c r="J6" s="44">
        <f t="shared" si="1"/>
        <v>45799</v>
      </c>
      <c r="K6" s="42" t="str">
        <f t="shared" si="2"/>
        <v>US</v>
      </c>
      <c r="L6" s="45" t="str">
        <f t="shared" si="3"/>
        <v>North Face Backpack</v>
      </c>
      <c r="M6" s="13"/>
      <c r="R6" s="27"/>
      <c r="S6" s="37"/>
      <c r="T6" s="25"/>
      <c r="U6" s="26"/>
    </row>
    <row r="7" spans="1:21" ht="14" x14ac:dyDescent="0.3">
      <c r="A7" s="15" t="s">
        <v>43</v>
      </c>
      <c r="B7" s="14" t="s">
        <v>44</v>
      </c>
      <c r="C7" s="42" t="s">
        <v>45</v>
      </c>
      <c r="D7" s="42"/>
      <c r="E7" s="42">
        <v>45</v>
      </c>
      <c r="F7" s="42" t="s">
        <v>28</v>
      </c>
      <c r="G7" s="43">
        <f t="shared" si="0"/>
        <v>296.20689655172413</v>
      </c>
      <c r="H7" s="42" t="s">
        <v>44</v>
      </c>
      <c r="I7" s="42" t="s">
        <v>28</v>
      </c>
      <c r="J7" s="44">
        <f t="shared" si="1"/>
        <v>45815</v>
      </c>
      <c r="K7" s="42" t="str">
        <f t="shared" si="2"/>
        <v>UK</v>
      </c>
      <c r="L7" s="45" t="str">
        <f t="shared" si="3"/>
        <v>Sony Headphones</v>
      </c>
      <c r="M7" s="13"/>
      <c r="R7" s="28" t="s">
        <v>4</v>
      </c>
      <c r="S7" s="37"/>
      <c r="T7" s="25"/>
      <c r="U7" s="26"/>
    </row>
    <row r="8" spans="1:21" ht="25.5" x14ac:dyDescent="0.3">
      <c r="A8" s="15" t="s">
        <v>47</v>
      </c>
      <c r="B8" s="14" t="s">
        <v>48</v>
      </c>
      <c r="C8" s="42" t="s">
        <v>49</v>
      </c>
      <c r="D8" s="42">
        <v>30</v>
      </c>
      <c r="E8" s="42">
        <v>5</v>
      </c>
      <c r="F8" s="42" t="s">
        <v>32</v>
      </c>
      <c r="G8" s="43">
        <f t="shared" si="0"/>
        <v>30</v>
      </c>
      <c r="H8" s="42" t="s">
        <v>48</v>
      </c>
      <c r="I8" s="42" t="s">
        <v>32</v>
      </c>
      <c r="J8" s="44">
        <f t="shared" si="1"/>
        <v>45857</v>
      </c>
      <c r="K8" s="42" t="str">
        <f t="shared" si="2"/>
        <v>UK</v>
      </c>
      <c r="L8" s="45" t="str">
        <f t="shared" si="3"/>
        <v>Adidas T-shirt</v>
      </c>
      <c r="M8" s="13"/>
      <c r="R8" s="24" t="s">
        <v>121</v>
      </c>
      <c r="S8" s="35" t="s">
        <v>123</v>
      </c>
      <c r="T8" s="25"/>
      <c r="U8" s="26"/>
    </row>
    <row r="9" spans="1:21" ht="14" x14ac:dyDescent="0.3">
      <c r="A9" s="15" t="s">
        <v>50</v>
      </c>
      <c r="B9" s="14" t="s">
        <v>51</v>
      </c>
      <c r="C9" s="42" t="s">
        <v>52</v>
      </c>
      <c r="D9" s="42">
        <v>90</v>
      </c>
      <c r="E9" s="42">
        <v>35</v>
      </c>
      <c r="F9" s="42" t="s">
        <v>36</v>
      </c>
      <c r="G9" s="43">
        <f t="shared" si="0"/>
        <v>90</v>
      </c>
      <c r="H9" s="42" t="s">
        <v>51</v>
      </c>
      <c r="I9" s="42" t="s">
        <v>36</v>
      </c>
      <c r="J9" s="44">
        <f t="shared" si="1"/>
        <v>45892</v>
      </c>
      <c r="K9" s="42" t="str">
        <f t="shared" si="2"/>
        <v>UK</v>
      </c>
      <c r="L9" s="45" t="str">
        <f t="shared" si="3"/>
        <v>Ninja Blender</v>
      </c>
      <c r="M9" s="13"/>
      <c r="R9" s="24" t="s">
        <v>122</v>
      </c>
      <c r="S9" s="37" t="s">
        <v>46</v>
      </c>
      <c r="T9" s="25"/>
      <c r="U9" s="26"/>
    </row>
    <row r="10" spans="1:21" ht="14" x14ac:dyDescent="0.3">
      <c r="A10" s="15" t="s">
        <v>53</v>
      </c>
      <c r="B10" s="14" t="s">
        <v>54</v>
      </c>
      <c r="C10" s="42" t="s">
        <v>55</v>
      </c>
      <c r="D10" s="42">
        <v>500</v>
      </c>
      <c r="E10" s="42">
        <v>50</v>
      </c>
      <c r="F10" s="42" t="s">
        <v>28</v>
      </c>
      <c r="G10" s="43">
        <f t="shared" si="0"/>
        <v>500</v>
      </c>
      <c r="H10" s="42" t="s">
        <v>54</v>
      </c>
      <c r="I10" s="42" t="s">
        <v>28</v>
      </c>
      <c r="J10" s="44">
        <f t="shared" si="1"/>
        <v>45905</v>
      </c>
      <c r="K10" s="42" t="str">
        <f t="shared" si="2"/>
        <v>UK</v>
      </c>
      <c r="L10" s="45" t="str">
        <f t="shared" si="3"/>
        <v>Apple Tablet</v>
      </c>
      <c r="M10" s="13"/>
      <c r="R10" s="27"/>
      <c r="S10" s="37"/>
      <c r="T10" s="25"/>
      <c r="U10" s="26"/>
    </row>
    <row r="11" spans="1:21" ht="14" x14ac:dyDescent="0.3">
      <c r="A11" s="15" t="s">
        <v>56</v>
      </c>
      <c r="B11" s="14" t="s">
        <v>57</v>
      </c>
      <c r="C11" s="42" t="s">
        <v>58</v>
      </c>
      <c r="D11" s="42">
        <v>130</v>
      </c>
      <c r="E11" s="42">
        <v>10</v>
      </c>
      <c r="F11" s="42" t="s">
        <v>59</v>
      </c>
      <c r="G11" s="43">
        <f t="shared" si="0"/>
        <v>130</v>
      </c>
      <c r="H11" s="42" t="s">
        <v>57</v>
      </c>
      <c r="I11" s="42" t="s">
        <v>59</v>
      </c>
      <c r="J11" s="44">
        <f t="shared" si="1"/>
        <v>45944</v>
      </c>
      <c r="K11" s="42" t="str">
        <f t="shared" si="2"/>
        <v>UK</v>
      </c>
      <c r="L11" s="45" t="str">
        <f t="shared" si="3"/>
        <v>Timberland Hiking Boots</v>
      </c>
      <c r="M11" s="13"/>
      <c r="R11" s="28" t="s">
        <v>8</v>
      </c>
      <c r="S11" s="37"/>
      <c r="T11" s="25"/>
      <c r="U11" s="26"/>
    </row>
    <row r="12" spans="1:21" ht="14" x14ac:dyDescent="0.3">
      <c r="A12" s="15" t="s">
        <v>60</v>
      </c>
      <c r="B12" s="14" t="s">
        <v>61</v>
      </c>
      <c r="C12" s="42" t="s">
        <v>62</v>
      </c>
      <c r="D12" s="42">
        <v>950</v>
      </c>
      <c r="E12" s="42">
        <v>25</v>
      </c>
      <c r="F12" s="42" t="s">
        <v>28</v>
      </c>
      <c r="G12" s="43">
        <f t="shared" si="0"/>
        <v>950</v>
      </c>
      <c r="H12" s="42" t="s">
        <v>61</v>
      </c>
      <c r="I12" s="42" t="s">
        <v>28</v>
      </c>
      <c r="J12" s="44">
        <f t="shared" si="1"/>
        <v>45825</v>
      </c>
      <c r="K12" s="42" t="str">
        <f t="shared" si="2"/>
        <v>IN</v>
      </c>
      <c r="L12" s="45" t="str">
        <f t="shared" si="3"/>
        <v>HP Laptop</v>
      </c>
      <c r="M12" s="13"/>
      <c r="R12" s="24" t="s">
        <v>129</v>
      </c>
      <c r="S12" s="37" t="s">
        <v>141</v>
      </c>
      <c r="T12" s="25"/>
      <c r="U12" s="26"/>
    </row>
    <row r="13" spans="1:21" ht="14" x14ac:dyDescent="0.3">
      <c r="A13" s="15" t="s">
        <v>63</v>
      </c>
      <c r="B13" s="14" t="s">
        <v>30</v>
      </c>
      <c r="C13" s="42" t="s">
        <v>49</v>
      </c>
      <c r="D13" s="42">
        <v>90</v>
      </c>
      <c r="E13" s="42">
        <v>40</v>
      </c>
      <c r="F13" s="42"/>
      <c r="G13" s="43">
        <f t="shared" si="0"/>
        <v>90</v>
      </c>
      <c r="H13" s="42" t="s">
        <v>30</v>
      </c>
      <c r="I13" s="42" t="s">
        <v>32</v>
      </c>
      <c r="J13" s="44">
        <f t="shared" si="1"/>
        <v>45986</v>
      </c>
      <c r="K13" s="42" t="str">
        <f t="shared" si="2"/>
        <v>AU</v>
      </c>
      <c r="L13" s="45" t="str">
        <f t="shared" si="3"/>
        <v>Adidas Sneakers</v>
      </c>
      <c r="M13" s="13"/>
      <c r="R13" s="27"/>
      <c r="S13" s="37"/>
      <c r="T13" s="25"/>
      <c r="U13" s="26"/>
    </row>
    <row r="14" spans="1:21" ht="14" x14ac:dyDescent="0.3">
      <c r="A14" s="15" t="s">
        <v>64</v>
      </c>
      <c r="B14" s="14" t="s">
        <v>34</v>
      </c>
      <c r="C14" s="42" t="s">
        <v>65</v>
      </c>
      <c r="D14" s="42">
        <v>120</v>
      </c>
      <c r="E14" s="42">
        <v>35</v>
      </c>
      <c r="F14" s="42"/>
      <c r="G14" s="43">
        <f t="shared" si="0"/>
        <v>120</v>
      </c>
      <c r="H14" s="42" t="s">
        <v>34</v>
      </c>
      <c r="I14" s="42" t="s">
        <v>36</v>
      </c>
      <c r="J14" s="44">
        <f t="shared" si="1"/>
        <v>45999</v>
      </c>
      <c r="K14" s="42" t="str">
        <f t="shared" si="2"/>
        <v>DE</v>
      </c>
      <c r="L14" s="45" t="str">
        <f t="shared" si="3"/>
        <v>Nespresso Coffee Maker</v>
      </c>
      <c r="M14" s="13"/>
      <c r="R14" s="28" t="s">
        <v>10</v>
      </c>
      <c r="S14" s="37"/>
      <c r="T14" s="25"/>
      <c r="U14" s="26"/>
    </row>
    <row r="15" spans="1:21" ht="14" x14ac:dyDescent="0.3">
      <c r="A15" s="15" t="s">
        <v>66</v>
      </c>
      <c r="B15" s="14" t="s">
        <v>67</v>
      </c>
      <c r="C15" s="42" t="s">
        <v>68</v>
      </c>
      <c r="D15" s="42">
        <v>150</v>
      </c>
      <c r="E15" s="42">
        <v>15</v>
      </c>
      <c r="F15" s="42" t="s">
        <v>28</v>
      </c>
      <c r="G15" s="43">
        <f t="shared" si="0"/>
        <v>150</v>
      </c>
      <c r="H15" s="42" t="s">
        <v>67</v>
      </c>
      <c r="I15" s="42" t="s">
        <v>28</v>
      </c>
      <c r="J15" s="44">
        <f t="shared" si="1"/>
        <v>45706</v>
      </c>
      <c r="K15" s="42" t="str">
        <f t="shared" si="2"/>
        <v>CA</v>
      </c>
      <c r="L15" s="45" t="str">
        <f t="shared" si="3"/>
        <v>Fitbit Smartwatch</v>
      </c>
      <c r="M15" s="13"/>
      <c r="R15" s="24" t="s">
        <v>130</v>
      </c>
      <c r="S15" s="36" t="s">
        <v>132</v>
      </c>
      <c r="T15" s="25"/>
      <c r="U15" s="26"/>
    </row>
    <row r="16" spans="1:21" ht="14" x14ac:dyDescent="0.3">
      <c r="A16" s="15" t="s">
        <v>69</v>
      </c>
      <c r="B16" s="14" t="s">
        <v>44</v>
      </c>
      <c r="C16" s="42" t="s">
        <v>71</v>
      </c>
      <c r="D16" s="42">
        <v>250</v>
      </c>
      <c r="E16" s="42">
        <v>20</v>
      </c>
      <c r="F16" s="42" t="s">
        <v>28</v>
      </c>
      <c r="G16" s="43">
        <f t="shared" si="0"/>
        <v>250</v>
      </c>
      <c r="H16" s="42" t="s">
        <v>44</v>
      </c>
      <c r="I16" s="42" t="s">
        <v>28</v>
      </c>
      <c r="J16" s="44">
        <f t="shared" si="1"/>
        <v>45763</v>
      </c>
      <c r="K16" s="42" t="str">
        <f t="shared" si="2"/>
        <v>ES</v>
      </c>
      <c r="L16" s="45" t="str">
        <f t="shared" si="3"/>
        <v>Bose Headphones</v>
      </c>
      <c r="M16" s="13"/>
      <c r="R16" s="27" t="s">
        <v>126</v>
      </c>
      <c r="S16" s="36" t="s">
        <v>133</v>
      </c>
      <c r="T16" s="25"/>
      <c r="U16" s="26"/>
    </row>
    <row r="17" spans="1:21" ht="14" x14ac:dyDescent="0.3">
      <c r="A17" s="15" t="s">
        <v>72</v>
      </c>
      <c r="B17" s="14" t="s">
        <v>73</v>
      </c>
      <c r="C17" s="42" t="s">
        <v>74</v>
      </c>
      <c r="D17" s="42">
        <v>50</v>
      </c>
      <c r="E17" s="42">
        <v>35</v>
      </c>
      <c r="F17" s="42" t="s">
        <v>75</v>
      </c>
      <c r="G17" s="43">
        <f t="shared" si="0"/>
        <v>50</v>
      </c>
      <c r="H17" s="42" t="s">
        <v>73</v>
      </c>
      <c r="I17" s="42" t="s">
        <v>75</v>
      </c>
      <c r="J17" s="44">
        <f t="shared" si="1"/>
        <v>45890</v>
      </c>
      <c r="K17" s="42" t="str">
        <f t="shared" si="2"/>
        <v>CA</v>
      </c>
      <c r="L17" s="45" t="str">
        <f t="shared" si="3"/>
        <v>Samsonite Laptop Bag</v>
      </c>
      <c r="M17" s="13"/>
      <c r="R17" s="27"/>
      <c r="S17" s="37"/>
      <c r="T17" s="25"/>
      <c r="U17" s="26"/>
    </row>
    <row r="18" spans="1:21" ht="14" x14ac:dyDescent="0.3">
      <c r="A18" s="15" t="s">
        <v>76</v>
      </c>
      <c r="B18" s="14" t="s">
        <v>67</v>
      </c>
      <c r="C18" s="42" t="s">
        <v>77</v>
      </c>
      <c r="D18" s="42">
        <v>160</v>
      </c>
      <c r="E18" s="42">
        <v>15</v>
      </c>
      <c r="F18" s="42" t="s">
        <v>28</v>
      </c>
      <c r="G18" s="43">
        <f t="shared" si="0"/>
        <v>160</v>
      </c>
      <c r="H18" s="42" t="s">
        <v>67</v>
      </c>
      <c r="I18" s="42" t="s">
        <v>28</v>
      </c>
      <c r="J18" s="44">
        <f t="shared" si="1"/>
        <v>45889</v>
      </c>
      <c r="K18" s="42" t="str">
        <f t="shared" si="2"/>
        <v>CN</v>
      </c>
      <c r="L18" s="45" t="str">
        <f t="shared" si="3"/>
        <v>Huawei Smartwatch</v>
      </c>
      <c r="M18" s="13"/>
      <c r="R18" s="28" t="s">
        <v>13</v>
      </c>
      <c r="S18" s="37"/>
      <c r="T18" s="25"/>
      <c r="U18" s="26"/>
    </row>
    <row r="19" spans="1:21" ht="14" x14ac:dyDescent="0.3">
      <c r="A19" s="15" t="s">
        <v>78</v>
      </c>
      <c r="B19" s="14" t="s">
        <v>61</v>
      </c>
      <c r="C19" s="42" t="s">
        <v>79</v>
      </c>
      <c r="D19" s="42">
        <v>980</v>
      </c>
      <c r="E19" s="42">
        <v>10</v>
      </c>
      <c r="F19" s="42" t="s">
        <v>28</v>
      </c>
      <c r="G19" s="43">
        <f t="shared" si="0"/>
        <v>980</v>
      </c>
      <c r="H19" s="42" t="s">
        <v>61</v>
      </c>
      <c r="I19" s="42" t="s">
        <v>28</v>
      </c>
      <c r="J19" s="44">
        <f t="shared" si="1"/>
        <v>45684</v>
      </c>
      <c r="K19" s="42" t="str">
        <f t="shared" si="2"/>
        <v>IT</v>
      </c>
      <c r="L19" s="45" t="str">
        <f t="shared" si="3"/>
        <v>Asus Laptop</v>
      </c>
      <c r="M19" s="13"/>
      <c r="R19" s="24" t="s">
        <v>136</v>
      </c>
      <c r="S19" s="36" t="s">
        <v>134</v>
      </c>
      <c r="T19" s="25"/>
      <c r="U19" s="26"/>
    </row>
    <row r="20" spans="1:21" ht="14" x14ac:dyDescent="0.3">
      <c r="A20" s="15" t="s">
        <v>80</v>
      </c>
      <c r="B20" s="14" t="s">
        <v>81</v>
      </c>
      <c r="C20" s="42" t="s">
        <v>82</v>
      </c>
      <c r="D20" s="42">
        <v>150</v>
      </c>
      <c r="E20" s="42">
        <v>15</v>
      </c>
      <c r="F20" s="42" t="s">
        <v>32</v>
      </c>
      <c r="G20" s="43">
        <f t="shared" si="0"/>
        <v>150</v>
      </c>
      <c r="H20" s="42" t="s">
        <v>81</v>
      </c>
      <c r="I20" s="42" t="s">
        <v>32</v>
      </c>
      <c r="J20" s="44">
        <f t="shared" si="1"/>
        <v>45717</v>
      </c>
      <c r="K20" s="42" t="str">
        <f t="shared" si="2"/>
        <v>UK</v>
      </c>
      <c r="L20" s="45" t="str">
        <f t="shared" si="3"/>
        <v>Oakley Sunglasses</v>
      </c>
      <c r="M20" s="13"/>
      <c r="R20" s="24" t="s">
        <v>135</v>
      </c>
      <c r="S20" s="36" t="s">
        <v>132</v>
      </c>
      <c r="T20" s="25"/>
      <c r="U20" s="26"/>
    </row>
    <row r="21" spans="1:21" ht="14" x14ac:dyDescent="0.3">
      <c r="A21" s="15" t="s">
        <v>83</v>
      </c>
      <c r="B21" s="14" t="s">
        <v>84</v>
      </c>
      <c r="C21" s="42" t="s">
        <v>85</v>
      </c>
      <c r="D21" s="42"/>
      <c r="E21" s="42">
        <v>10</v>
      </c>
      <c r="F21" s="42" t="s">
        <v>59</v>
      </c>
      <c r="G21" s="43">
        <f t="shared" si="0"/>
        <v>296.20689655172413</v>
      </c>
      <c r="H21" s="42" t="s">
        <v>84</v>
      </c>
      <c r="I21" s="42" t="s">
        <v>59</v>
      </c>
      <c r="J21" s="44">
        <f t="shared" si="1"/>
        <v>45883</v>
      </c>
      <c r="K21" s="42" t="str">
        <f t="shared" si="2"/>
        <v>US</v>
      </c>
      <c r="L21" s="45" t="str">
        <f t="shared" si="3"/>
        <v>Coleman Camping Tent</v>
      </c>
      <c r="M21" s="13"/>
      <c r="R21" s="27"/>
      <c r="S21" s="37"/>
      <c r="T21" s="25"/>
      <c r="U21" s="26"/>
    </row>
    <row r="22" spans="1:21" ht="14" x14ac:dyDescent="0.3">
      <c r="A22" s="15" t="s">
        <v>86</v>
      </c>
      <c r="B22" s="14" t="s">
        <v>87</v>
      </c>
      <c r="C22" s="42" t="s">
        <v>88</v>
      </c>
      <c r="D22" s="42">
        <v>700</v>
      </c>
      <c r="E22" s="42">
        <v>50</v>
      </c>
      <c r="F22" s="42" t="s">
        <v>28</v>
      </c>
      <c r="G22" s="43">
        <f t="shared" si="0"/>
        <v>700</v>
      </c>
      <c r="H22" s="42" t="s">
        <v>87</v>
      </c>
      <c r="I22" s="42" t="s">
        <v>28</v>
      </c>
      <c r="J22" s="44">
        <f t="shared" si="1"/>
        <v>45791</v>
      </c>
      <c r="K22" s="42" t="str">
        <f t="shared" si="2"/>
        <v>RU</v>
      </c>
      <c r="L22" s="45" t="str">
        <f t="shared" si="3"/>
        <v>Nikon Camera</v>
      </c>
      <c r="M22" s="13"/>
      <c r="R22" s="28" t="s">
        <v>16</v>
      </c>
      <c r="S22" s="37"/>
      <c r="T22" s="25"/>
      <c r="U22" s="26"/>
    </row>
    <row r="23" spans="1:21" ht="14" x14ac:dyDescent="0.3">
      <c r="A23" s="15" t="s">
        <v>89</v>
      </c>
      <c r="B23" s="14" t="s">
        <v>90</v>
      </c>
      <c r="C23" s="42" t="s">
        <v>91</v>
      </c>
      <c r="D23" s="42">
        <v>80</v>
      </c>
      <c r="E23" s="42">
        <v>20</v>
      </c>
      <c r="F23" s="42" t="s">
        <v>36</v>
      </c>
      <c r="G23" s="43">
        <f t="shared" si="0"/>
        <v>80</v>
      </c>
      <c r="H23" s="42" t="s">
        <v>90</v>
      </c>
      <c r="I23" s="42" t="s">
        <v>36</v>
      </c>
      <c r="J23" s="44">
        <f t="shared" si="1"/>
        <v>45666</v>
      </c>
      <c r="K23" s="42" t="str">
        <f t="shared" si="2"/>
        <v>CA</v>
      </c>
      <c r="L23" s="45" t="str">
        <f t="shared" si="3"/>
        <v>Panasonic Microwave</v>
      </c>
      <c r="M23" s="13"/>
      <c r="R23" s="24" t="s">
        <v>137</v>
      </c>
      <c r="S23" s="36" t="s">
        <v>134</v>
      </c>
      <c r="T23" s="25"/>
      <c r="U23" s="26"/>
    </row>
    <row r="24" spans="1:21" ht="14" x14ac:dyDescent="0.3">
      <c r="A24" s="15" t="s">
        <v>92</v>
      </c>
      <c r="B24" s="14" t="s">
        <v>93</v>
      </c>
      <c r="C24" s="42" t="s">
        <v>94</v>
      </c>
      <c r="D24" s="42">
        <v>150</v>
      </c>
      <c r="E24" s="42">
        <v>30</v>
      </c>
      <c r="F24" s="42"/>
      <c r="G24" s="43">
        <f t="shared" si="0"/>
        <v>150</v>
      </c>
      <c r="H24" s="42" t="s">
        <v>93</v>
      </c>
      <c r="I24" s="42" t="s">
        <v>28</v>
      </c>
      <c r="J24" s="44">
        <f t="shared" si="1"/>
        <v>45857</v>
      </c>
      <c r="K24" s="42" t="str">
        <f t="shared" si="2"/>
        <v>BR</v>
      </c>
      <c r="L24" s="45" t="str">
        <f t="shared" si="3"/>
        <v>Xiaomi Fitness Tracker</v>
      </c>
      <c r="M24" s="13"/>
      <c r="R24" s="24" t="s">
        <v>138</v>
      </c>
      <c r="S24" s="38" t="s">
        <v>139</v>
      </c>
      <c r="T24" s="25"/>
      <c r="U24" s="26"/>
    </row>
    <row r="25" spans="1:21" ht="14.5" thickBot="1" x14ac:dyDescent="0.35">
      <c r="A25" s="15" t="s">
        <v>95</v>
      </c>
      <c r="B25" s="14" t="s">
        <v>96</v>
      </c>
      <c r="C25" s="42" t="s">
        <v>97</v>
      </c>
      <c r="D25" s="42">
        <v>800</v>
      </c>
      <c r="E25" s="42">
        <v>45</v>
      </c>
      <c r="F25" s="42" t="s">
        <v>28</v>
      </c>
      <c r="G25" s="43">
        <f t="shared" si="0"/>
        <v>800</v>
      </c>
      <c r="H25" s="42" t="s">
        <v>96</v>
      </c>
      <c r="I25" s="42" t="s">
        <v>28</v>
      </c>
      <c r="J25" s="44">
        <f t="shared" si="1"/>
        <v>45929</v>
      </c>
      <c r="K25" s="42" t="str">
        <f t="shared" si="2"/>
        <v>CA</v>
      </c>
      <c r="L25" s="45" t="str">
        <f t="shared" si="3"/>
        <v>Google Smartphone</v>
      </c>
      <c r="M25" s="13"/>
      <c r="R25" s="29"/>
      <c r="S25" s="30"/>
      <c r="T25" s="30"/>
      <c r="U25" s="31"/>
    </row>
    <row r="26" spans="1:21" ht="14" x14ac:dyDescent="0.3">
      <c r="A26" s="15" t="s">
        <v>98</v>
      </c>
      <c r="B26" s="14" t="s">
        <v>81</v>
      </c>
      <c r="C26" s="42" t="s">
        <v>99</v>
      </c>
      <c r="D26" s="42"/>
      <c r="E26" s="42">
        <v>25</v>
      </c>
      <c r="F26" s="42" t="s">
        <v>32</v>
      </c>
      <c r="G26" s="43">
        <f t="shared" si="0"/>
        <v>296.20689655172413</v>
      </c>
      <c r="H26" s="42" t="s">
        <v>81</v>
      </c>
      <c r="I26" s="42" t="s">
        <v>32</v>
      </c>
      <c r="J26" s="44">
        <f t="shared" si="1"/>
        <v>45811</v>
      </c>
      <c r="K26" s="42" t="str">
        <f t="shared" si="2"/>
        <v>CA</v>
      </c>
      <c r="L26" s="45" t="str">
        <f t="shared" si="3"/>
        <v>Ray-Ban Sunglasses</v>
      </c>
      <c r="M26" s="13"/>
    </row>
    <row r="27" spans="1:21" ht="14" x14ac:dyDescent="0.3">
      <c r="A27" s="15" t="s">
        <v>100</v>
      </c>
      <c r="B27" s="14" t="s">
        <v>51</v>
      </c>
      <c r="C27" s="42" t="s">
        <v>101</v>
      </c>
      <c r="D27" s="42">
        <v>400</v>
      </c>
      <c r="E27" s="42">
        <v>40</v>
      </c>
      <c r="F27" s="42" t="s">
        <v>36</v>
      </c>
      <c r="G27" s="43">
        <f t="shared" si="0"/>
        <v>400</v>
      </c>
      <c r="H27" s="42" t="s">
        <v>51</v>
      </c>
      <c r="I27" s="42" t="s">
        <v>36</v>
      </c>
      <c r="J27" s="44">
        <f t="shared" si="1"/>
        <v>45849</v>
      </c>
      <c r="K27" s="42" t="str">
        <f t="shared" si="2"/>
        <v>CA</v>
      </c>
      <c r="L27" s="45" t="str">
        <f t="shared" si="3"/>
        <v>Vitamix Blender</v>
      </c>
      <c r="M27" s="13"/>
    </row>
    <row r="28" spans="1:21" ht="14" x14ac:dyDescent="0.3">
      <c r="A28" s="15" t="s">
        <v>69</v>
      </c>
      <c r="B28" s="14" t="s">
        <v>44</v>
      </c>
      <c r="C28" s="42" t="s">
        <v>71</v>
      </c>
      <c r="D28" s="42">
        <v>250</v>
      </c>
      <c r="E28" s="42">
        <v>20</v>
      </c>
      <c r="F28" s="42" t="s">
        <v>28</v>
      </c>
      <c r="G28" s="43">
        <f t="shared" si="0"/>
        <v>250</v>
      </c>
      <c r="H28" s="42" t="s">
        <v>44</v>
      </c>
      <c r="I28" s="42" t="s">
        <v>28</v>
      </c>
      <c r="J28" s="44">
        <f t="shared" si="1"/>
        <v>45763</v>
      </c>
      <c r="K28" s="42" t="str">
        <f t="shared" si="2"/>
        <v>ES</v>
      </c>
      <c r="L28" s="45" t="str">
        <f t="shared" si="3"/>
        <v>Bose Headphones</v>
      </c>
      <c r="M28" s="13"/>
    </row>
    <row r="29" spans="1:21" ht="14" x14ac:dyDescent="0.3">
      <c r="A29" s="15" t="s">
        <v>102</v>
      </c>
      <c r="B29" s="14" t="s">
        <v>103</v>
      </c>
      <c r="C29" s="42" t="s">
        <v>104</v>
      </c>
      <c r="D29" s="42">
        <v>60</v>
      </c>
      <c r="E29" s="42">
        <v>30</v>
      </c>
      <c r="F29" s="42" t="s">
        <v>32</v>
      </c>
      <c r="G29" s="43">
        <f t="shared" si="0"/>
        <v>60</v>
      </c>
      <c r="H29" s="42" t="s">
        <v>103</v>
      </c>
      <c r="I29" s="42" t="s">
        <v>32</v>
      </c>
      <c r="J29" s="44">
        <f t="shared" si="1"/>
        <v>45723</v>
      </c>
      <c r="K29" s="42" t="str">
        <f t="shared" si="2"/>
        <v>CA</v>
      </c>
      <c r="L29" s="45" t="str">
        <f t="shared" si="3"/>
        <v>Zara Dress</v>
      </c>
      <c r="M29" s="13"/>
    </row>
    <row r="30" spans="1:21" ht="14" x14ac:dyDescent="0.3">
      <c r="A30" s="15" t="s">
        <v>105</v>
      </c>
      <c r="B30" s="14" t="s">
        <v>106</v>
      </c>
      <c r="C30" s="42" t="s">
        <v>107</v>
      </c>
      <c r="D30" s="42">
        <v>40</v>
      </c>
      <c r="E30" s="42">
        <v>10</v>
      </c>
      <c r="F30" s="42" t="s">
        <v>36</v>
      </c>
      <c r="G30" s="43">
        <f t="shared" si="0"/>
        <v>40</v>
      </c>
      <c r="H30" s="42" t="s">
        <v>106</v>
      </c>
      <c r="I30" s="42" t="s">
        <v>36</v>
      </c>
      <c r="J30" s="44">
        <f t="shared" si="1"/>
        <v>45760</v>
      </c>
      <c r="K30" s="42" t="str">
        <f t="shared" si="2"/>
        <v>CA</v>
      </c>
      <c r="L30" s="45" t="str">
        <f t="shared" si="3"/>
        <v>Hamilton Toaster</v>
      </c>
      <c r="M30" s="13"/>
    </row>
    <row r="31" spans="1:21" ht="14" x14ac:dyDescent="0.3">
      <c r="A31" s="15" t="s">
        <v>108</v>
      </c>
      <c r="B31" s="14" t="s">
        <v>93</v>
      </c>
      <c r="C31" s="42" t="s">
        <v>109</v>
      </c>
      <c r="D31" s="42">
        <v>130</v>
      </c>
      <c r="E31" s="42">
        <v>5</v>
      </c>
      <c r="F31" s="42" t="s">
        <v>28</v>
      </c>
      <c r="G31" s="43">
        <f t="shared" si="0"/>
        <v>130</v>
      </c>
      <c r="H31" s="42" t="s">
        <v>93</v>
      </c>
      <c r="I31" s="42" t="s">
        <v>28</v>
      </c>
      <c r="J31" s="44">
        <f t="shared" si="1"/>
        <v>45801</v>
      </c>
      <c r="K31" s="42" t="str">
        <f t="shared" si="2"/>
        <v>CA</v>
      </c>
      <c r="L31" s="45" t="str">
        <f t="shared" si="3"/>
        <v>Garmin Fitness Tracker</v>
      </c>
      <c r="M31" s="13"/>
      <c r="R31" s="34" t="s">
        <v>131</v>
      </c>
    </row>
    <row r="32" spans="1:21" ht="14" x14ac:dyDescent="0.3">
      <c r="A32" s="15" t="s">
        <v>110</v>
      </c>
      <c r="B32" s="14" t="s">
        <v>111</v>
      </c>
      <c r="C32" s="42" t="s">
        <v>112</v>
      </c>
      <c r="D32" s="42">
        <v>50</v>
      </c>
      <c r="E32" s="42">
        <v>50</v>
      </c>
      <c r="F32" s="42" t="s">
        <v>32</v>
      </c>
      <c r="G32" s="43">
        <f t="shared" si="0"/>
        <v>50</v>
      </c>
      <c r="H32" s="42" t="s">
        <v>111</v>
      </c>
      <c r="I32" s="42" t="s">
        <v>32</v>
      </c>
      <c r="J32" s="44">
        <f t="shared" si="1"/>
        <v>45993</v>
      </c>
      <c r="K32" s="42" t="str">
        <f t="shared" si="2"/>
        <v>CA</v>
      </c>
      <c r="L32" s="45" t="str">
        <f t="shared" si="3"/>
        <v>Levi's Jeans</v>
      </c>
      <c r="M32" s="13"/>
    </row>
    <row r="33" spans="1:13" ht="14" x14ac:dyDescent="0.3">
      <c r="A33" s="18" t="s">
        <v>113</v>
      </c>
      <c r="B33" s="19" t="s">
        <v>114</v>
      </c>
      <c r="C33" s="46" t="s">
        <v>115</v>
      </c>
      <c r="D33" s="46">
        <v>100</v>
      </c>
      <c r="E33" s="46">
        <v>20</v>
      </c>
      <c r="F33" s="46" t="s">
        <v>75</v>
      </c>
      <c r="G33" s="47">
        <f t="shared" si="0"/>
        <v>100</v>
      </c>
      <c r="H33" s="46" t="s">
        <v>114</v>
      </c>
      <c r="I33" s="46" t="s">
        <v>75</v>
      </c>
      <c r="J33" s="44">
        <f t="shared" si="1"/>
        <v>45847</v>
      </c>
      <c r="K33" s="46" t="str">
        <f t="shared" si="2"/>
        <v>FR</v>
      </c>
      <c r="L33" s="48" t="str">
        <f t="shared" si="3"/>
        <v>Casio Watch</v>
      </c>
      <c r="M33" s="13"/>
    </row>
    <row r="34" spans="1:13" x14ac:dyDescent="0.25">
      <c r="M34" s="12"/>
    </row>
    <row r="35" spans="1:13" x14ac:dyDescent="0.25">
      <c r="M35" s="12"/>
    </row>
  </sheetData>
  <conditionalFormatting sqref="G2:G3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{CC6F71B1-DA11-434F-A820-4C804B01AEDF}</x14:id>
        </ext>
      </extLst>
    </cfRule>
  </conditionalFormatting>
  <conditionalFormatting sqref="I2:I33">
    <cfRule type="containsText" dxfId="11" priority="1" operator="containsText" text="Electronics">
      <formula>NOT(ISERROR(SEARCH("Electronics",I2)))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6F71B1-DA11-434F-A820-4C804B01AED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G2:G33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Vijitha P</cp:lastModifiedBy>
  <dcterms:modified xsi:type="dcterms:W3CDTF">2026-10-21T15:46:21Z</dcterms:modified>
</cp:coreProperties>
</file>